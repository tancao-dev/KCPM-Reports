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showInkAnnotation="0" autoCompressPictures="0"/>
  <mc:AlternateContent xmlns:mc="http://schemas.openxmlformats.org/markup-compatibility/2006">
    <mc:Choice Requires="x15">
      <x15ac:absPath xmlns:x15ac="http://schemas.microsoft.com/office/spreadsheetml/2010/11/ac" url="C:\Users\User\Desktop\KCPM\KCPM-Reports\Project Score Sheet\"/>
    </mc:Choice>
  </mc:AlternateContent>
  <xr:revisionPtr revIDLastSave="0" documentId="13_ncr:1_{364737F0-9806-4DBC-93BA-9AB0FA381B22}" xr6:coauthVersionLast="46" xr6:coauthVersionMax="46" xr10:uidLastSave="{00000000-0000-0000-0000-000000000000}"/>
  <bookViews>
    <workbookView xWindow="-108" yWindow="-108" windowWidth="23256" windowHeight="12576" tabRatio="500" activeTab="2" xr2:uid="{00000000-000D-0000-FFFF-FFFF00000000}"/>
  </bookViews>
  <sheets>
    <sheet name="Thong tin Nhom" sheetId="4" r:id="rId1"/>
    <sheet name="Danh gia Nhom" sheetId="1" r:id="rId2"/>
    <sheet name="Thang Diem" sheetId="2" r:id="rId3"/>
    <sheet name="Huong dan" sheetId="3"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22" i="2" l="1"/>
  <c r="D29" i="2"/>
  <c r="E21" i="2"/>
  <c r="E18" i="2"/>
  <c r="E17" i="2"/>
  <c r="E16" i="2"/>
  <c r="E14" i="2"/>
  <c r="E13" i="2"/>
  <c r="E11" i="2"/>
  <c r="E10" i="2"/>
  <c r="E9" i="2"/>
  <c r="E8" i="2"/>
  <c r="E6" i="2"/>
  <c r="E5" i="2"/>
  <c r="E3" i="2"/>
  <c r="F6" i="1"/>
  <c r="E6" i="1"/>
  <c r="E2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Hanh Tran</author>
  </authors>
  <commentList>
    <comment ref="E6" authorId="0" shapeId="0" xr:uid="{00000000-0006-0000-0100-000001000000}">
      <text>
        <r>
          <rPr>
            <b/>
            <sz val="9"/>
            <color indexed="81"/>
            <rFont val="Calibri"/>
            <family val="2"/>
          </rPr>
          <t>Hanh Tran:</t>
        </r>
        <r>
          <rPr>
            <sz val="9"/>
            <color indexed="81"/>
            <rFont val="Calibri"/>
            <family val="2"/>
          </rPr>
          <t xml:space="preserve">
Tổng tỉ lệ % của 3 thành viên không được vượt quá 100%
</t>
        </r>
      </text>
    </comment>
  </commentList>
</comments>
</file>

<file path=xl/sharedStrings.xml><?xml version="1.0" encoding="utf-8"?>
<sst xmlns="http://schemas.openxmlformats.org/spreadsheetml/2006/main" count="68" uniqueCount="61">
  <si>
    <t>MSSV</t>
  </si>
  <si>
    <t>Mã nhóm</t>
  </si>
  <si>
    <t>STT</t>
  </si>
  <si>
    <t>Họ tên</t>
  </si>
  <si>
    <t>Tổng cộng (&lt;= 100%)</t>
  </si>
  <si>
    <t>Tiêu chí</t>
  </si>
  <si>
    <t>Thang điểm</t>
  </si>
  <si>
    <t>Điểm</t>
  </si>
  <si>
    <t>Email</t>
  </si>
  <si>
    <t>Điện thoại</t>
  </si>
  <si>
    <t>Thông tin nhóm</t>
  </si>
  <si>
    <t>Email liên lạc của nhóm</t>
  </si>
  <si>
    <t>Điện thoại liên lạc nhóm</t>
  </si>
  <si>
    <t>Thông tin thành viên</t>
  </si>
  <si>
    <t>Tên nhóm (nếu có)</t>
  </si>
  <si>
    <t>Tỉ lệ % tham gia (tự đánh giá)</t>
  </si>
  <si>
    <t>Tỉ lệ % tham gia (nhóm đánh giá)</t>
  </si>
  <si>
    <t>Tài liệu Test Plan</t>
  </si>
  <si>
    <t>Tài liệu Test Cases</t>
  </si>
  <si>
    <t>Tài liệu Bug Report</t>
  </si>
  <si>
    <t>Tài liệu Test Summary Report</t>
  </si>
  <si>
    <t>Test Scripts</t>
  </si>
  <si>
    <t>Trình bày rõ ràng theo mẫu qui định</t>
  </si>
  <si>
    <t>Đánh giá nhóm</t>
  </si>
  <si>
    <t>Thang điểm tự đánh giá</t>
  </si>
  <si>
    <t>Tổng tỉ lệ % của 3 thành viên trong nhóm không được vượt quá 100%</t>
  </si>
  <si>
    <t>Điểm tự đánh giá 1 tiêu chí là điểm trừ dựa trên mức độ không hoàn thành của tiêu chí so với thang điểm qui định. Ví dụ tiêu chí 6.1, nếu chỉ quản lý 20% số test case trên TestLink thì điểm tự đánh giá là -0.8 (-80%)</t>
  </si>
  <si>
    <t>Tổng điểm cuối cùng là MIN(0, 10 - tổng điểm trừ của tất cả tiêu chí)</t>
  </si>
  <si>
    <t>Phân công công việc trong nhóm</t>
  </si>
  <si>
    <t>Phủ 5 loại test (Functional, GUI &amp; Usability, Performance, Security, Compatibility)</t>
  </si>
  <si>
    <t>Tổng điểm</t>
  </si>
  <si>
    <t>Tỉ lệ % mức độ hoàn thành (nhóm tự đánh giá)</t>
  </si>
  <si>
    <r>
      <rPr>
        <sz val="7"/>
        <color theme="1"/>
        <rFont val="Times New Roman"/>
        <family val="1"/>
      </rPr>
      <t xml:space="preserve"> </t>
    </r>
    <r>
      <rPr>
        <sz val="13"/>
        <color theme="1"/>
        <rFont val="Times New Roman"/>
        <family val="1"/>
      </rPr>
      <t>Xác định rõ ràng yêu cầu test (Test Types)</t>
    </r>
  </si>
  <si>
    <t>Lập kế hoạch thời gian kiểm thử hợp lý</t>
  </si>
  <si>
    <t>Xác định vai trò và phân công công việc  hợp lý</t>
  </si>
  <si>
    <t>Test Coverage = 100% (Thực thi 100% Test case được đặc tả)</t>
  </si>
  <si>
    <t>Có báo cáo phân tích cụ kết quả kiểm thử hiệu năng của dự án</t>
  </si>
  <si>
    <t>Có ít nhất n*100 TCs (trong đó n là số thành viên trong nhóm kiểm thử)</t>
  </si>
  <si>
    <t>Có ít nhất n*10 bug (trong đó n là số thành viên trong nhóm)</t>
  </si>
  <si>
    <t>Trình bày rõ ràng theo mẫu qui định, dễ dàng xác định được TCs của loại test nào, kết quả thực thi TCs cho từng Release</t>
  </si>
  <si>
    <t>Thống kê đầy đủ test coverage, số lượng TC, trạng thái TCs trên từng yêu cầu test, từng Phân hệ</t>
  </si>
  <si>
    <t>Thống kê đầy đủ số lượng bug, độ nghiêm trọng của bug trên từng yêu cầu test, từng Phân hệ</t>
  </si>
  <si>
    <t>Mỗi thành viên xây dựng ít nhất 1 test script kiểm thử tự động cho 1 trường hợp cụ thể của dự án</t>
  </si>
  <si>
    <t>Mỗi thành viên xây dựng ít nhất 1 test script kiểm thử hiệu năng cho 1 ngữ cảnh cụ thể của dự án</t>
  </si>
  <si>
    <t>Test Management</t>
  </si>
  <si>
    <t>Bug Tracker</t>
  </si>
  <si>
    <t>Có script phát sinh dữ liệu mẫu cho dự án (trong trường hợp kiểm thử hiệu năng, cần phát sinh dữ liệu lớn)</t>
  </si>
  <si>
    <t>100% yêu cầu kiểm thử &amp; test cases trong Test Plan được quản lý trên một công cụ quản lý kiểm thử (TestLink…)</t>
  </si>
  <si>
    <t>100% số Bug report được quản lý trên Bug Tracker Tool (không tính file Excel)</t>
  </si>
  <si>
    <t>Trình bày rõ ràng theo mẫu qui định, mỗi Bug Report phải được mô tả rõ ràng, phải có hình chụp giao diện minh hoạ lỗi, nếu không sẽ không được tính</t>
  </si>
  <si>
    <t>1712018@student.hcmus.edu.vn</t>
  </si>
  <si>
    <t>Phạm Hoàng Phước Duy</t>
  </si>
  <si>
    <t>Nguyễn Văn Huy</t>
  </si>
  <si>
    <t>Cao Thái Sơn</t>
  </si>
  <si>
    <t>- Viết và chỉnh sửa Testplan 
- Quản lý tiến độ kiểm thử
- Viết 100 Test cases cho các chức năng được giao theo số thứ tự từ 21 - 29
- Thực thi kiểm thử cho các testcase
- Viết test report
- Chụp hình các bug
- Tổng hợp kết quả</t>
  </si>
  <si>
    <t>Nguyễn Thái Sơn</t>
  </si>
  <si>
    <t xml:space="preserve"> - Thiết kế 108 testcases cho các chức năng từ F011 đến F019.
 - Gồm 5 test types: GUI &amp;Usability, Functional, Security, Compatibility và Performance
 - Thực thi các testcases cho các chức năng từ F011 đến F019
 - Tổng hợp và viết Bug Report cho các Bug phát hiện được
 - Chụp ảnh, quay màn hình mô tả các Bug trong Bug Report (chức năng F011 đến F019)
 - Tổng hợp kết quả Defect Serverity Distribution và Test Summary Report (chức năng F011 đến F019)
 - Viết Test Plan: Mục 4. Environmental Needs</t>
  </si>
  <si>
    <t>Cao Minh Tân</t>
  </si>
  <si>
    <t>- Phân chia các phần của Test Plan cho các thành viên
- Tạo sườn báo cáo Test Plan
- Viết Test Plan: Mục 5. Responsibilities, Staffing, and Training Needs
- Duyệt các comment về file Test Plan
- Phân công công việc dựa trên việc đã chia khi làm Test Plan
- Thay đổi mục 5. Responsibilities, Staffing, and Training Needs
- Phân chia features cho các thành viên
- Xác định 100 TCs cần viết theo các features đã chia
- Phủ đủ 5 loại Test types
- Hiện thực hóa các TCs, theo dõi và viết báo cáo Test Cases
- Kiểm tra các Test Cases bị failed và thực hiện viết Bugs Report
- Tổng hợp Test Cases của cả nhóm
- Deploy project lên Heroku</t>
  </si>
  <si>
    <t>tancaominh98@gmail.com</t>
  </si>
  <si>
    <t>0933615558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</si>
</sst>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rial"/>
      <family val="2"/>
      <scheme val="minor"/>
    </font>
    <font>
      <sz val="12"/>
      <color theme="1"/>
      <name val="Arial"/>
      <family val="2"/>
      <scheme val="minor"/>
    </font>
    <font>
      <b/>
      <sz val="12"/>
      <color theme="1"/>
      <name val="Arial"/>
      <family val="2"/>
      <scheme val="minor"/>
    </font>
    <font>
      <u/>
      <sz val="12"/>
      <color theme="10"/>
      <name val="Arial"/>
      <family val="2"/>
      <scheme val="minor"/>
    </font>
    <font>
      <u/>
      <sz val="12"/>
      <color theme="11"/>
      <name val="Arial"/>
      <family val="2"/>
      <scheme val="minor"/>
    </font>
    <font>
      <sz val="7"/>
      <color theme="1"/>
      <name val="Times New Roman"/>
      <family val="1"/>
    </font>
    <font>
      <sz val="13"/>
      <color theme="1"/>
      <name val="Times New Roman"/>
      <family val="1"/>
    </font>
    <font>
      <b/>
      <sz val="13"/>
      <color theme="1"/>
      <name val="Wingdings"/>
      <charset val="2"/>
    </font>
    <font>
      <b/>
      <sz val="13"/>
      <color theme="1"/>
      <name val="Times New Roman"/>
      <family val="1"/>
    </font>
    <font>
      <sz val="9"/>
      <color indexed="81"/>
      <name val="Calibri"/>
      <family val="2"/>
    </font>
    <font>
      <b/>
      <sz val="9"/>
      <color indexed="81"/>
      <name val="Calibri"/>
      <family val="2"/>
    </font>
    <font>
      <b/>
      <sz val="12"/>
      <color rgb="FF0000FF"/>
      <name val="Arial"/>
      <family val="2"/>
      <scheme val="minor"/>
    </font>
  </fonts>
  <fills count="3">
    <fill>
      <patternFill patternType="none"/>
    </fill>
    <fill>
      <patternFill patternType="gray125"/>
    </fill>
    <fill>
      <patternFill patternType="solid">
        <fgColor rgb="FFCCFFCC"/>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7">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38">
    <xf numFmtId="0" fontId="0" fillId="0" borderId="0" xfId="0"/>
    <xf numFmtId="0" fontId="2" fillId="0" borderId="0" xfId="0" applyFont="1"/>
    <xf numFmtId="0" fontId="2" fillId="0" borderId="1" xfId="0" applyFont="1" applyBorder="1"/>
    <xf numFmtId="0" fontId="0" fillId="0" borderId="1" xfId="0" applyBorder="1"/>
    <xf numFmtId="0" fontId="0" fillId="0" borderId="1" xfId="0" applyBorder="1" applyAlignment="1">
      <alignment horizontal="left"/>
    </xf>
    <xf numFmtId="0" fontId="0" fillId="0" borderId="0" xfId="0" applyAlignment="1">
      <alignment horizontal="center"/>
    </xf>
    <xf numFmtId="0" fontId="2" fillId="0" borderId="1" xfId="0" applyFont="1" applyBorder="1" applyAlignment="1">
      <alignment horizontal="center"/>
    </xf>
    <xf numFmtId="0" fontId="2" fillId="0" borderId="0" xfId="0" applyFont="1" applyBorder="1"/>
    <xf numFmtId="0" fontId="0" fillId="0" borderId="0" xfId="0" applyBorder="1"/>
    <xf numFmtId="0" fontId="2" fillId="0" borderId="1" xfId="0" applyFont="1" applyBorder="1" applyAlignment="1">
      <alignment horizontal="center" vertical="center"/>
    </xf>
    <xf numFmtId="0" fontId="2" fillId="0" borderId="1" xfId="0" applyFont="1" applyBorder="1" applyAlignment="1">
      <alignment vertical="center"/>
    </xf>
    <xf numFmtId="0" fontId="8" fillId="0" borderId="1" xfId="0" applyFont="1" applyBorder="1" applyAlignment="1">
      <alignment horizontal="right" vertical="center" indent="1"/>
    </xf>
    <xf numFmtId="0" fontId="6" fillId="0" borderId="1" xfId="0" applyFont="1" applyBorder="1" applyAlignment="1">
      <alignment horizontal="right" vertical="center"/>
    </xf>
    <xf numFmtId="0" fontId="6" fillId="0" borderId="1" xfId="0" applyFont="1" applyBorder="1" applyAlignment="1">
      <alignment horizontal="right" vertical="center" wrapText="1"/>
    </xf>
    <xf numFmtId="0" fontId="0" fillId="0" borderId="0" xfId="0" applyAlignment="1">
      <alignment wrapText="1"/>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0" fillId="0" borderId="0" xfId="0" applyAlignment="1">
      <alignment vertical="center"/>
    </xf>
    <xf numFmtId="0" fontId="2" fillId="0" borderId="0" xfId="0" applyFont="1" applyAlignment="1">
      <alignment horizontal="right"/>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9" fontId="0" fillId="0" borderId="1" xfId="1" applyFont="1" applyBorder="1" applyAlignment="1">
      <alignment horizontal="center" vertical="center"/>
    </xf>
    <xf numFmtId="0" fontId="2" fillId="2" borderId="1" xfId="0" applyFont="1" applyFill="1" applyBorder="1" applyAlignment="1">
      <alignment horizontal="center" vertical="center" wrapText="1"/>
    </xf>
    <xf numFmtId="9" fontId="11" fillId="0" borderId="0" xfId="1" applyFont="1" applyAlignment="1">
      <alignment horizontal="center"/>
    </xf>
    <xf numFmtId="0" fontId="8"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9" fontId="7" fillId="0" borderId="3" xfId="1" applyFont="1" applyBorder="1" applyAlignment="1">
      <alignment vertical="center"/>
    </xf>
    <xf numFmtId="0" fontId="2" fillId="0" borderId="0" xfId="0" applyFont="1" applyAlignment="1">
      <alignment vertical="center"/>
    </xf>
    <xf numFmtId="9" fontId="2" fillId="0" borderId="1" xfId="0" applyNumberFormat="1" applyFont="1" applyBorder="1" applyAlignment="1">
      <alignment horizontal="center" vertical="center"/>
    </xf>
    <xf numFmtId="0" fontId="11" fillId="0" borderId="1" xfId="0" applyFont="1" applyBorder="1" applyAlignment="1">
      <alignment horizontal="center" vertical="center"/>
    </xf>
    <xf numFmtId="0" fontId="3" fillId="0" borderId="1" xfId="46" applyBorder="1"/>
    <xf numFmtId="0" fontId="0" fillId="0" borderId="1" xfId="0" quotePrefix="1" applyBorder="1" applyAlignment="1">
      <alignment vertical="center"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0" borderId="1" xfId="0" quotePrefix="1" applyBorder="1"/>
  </cellXfs>
  <cellStyles count="47">
    <cellStyle name="Bình thường" xfId="0" builtinId="0"/>
    <cellStyle name="Phần trăm" xfId="1" builtinId="5"/>
    <cellStyle name="Siêu kết nối" xfId="2" builtinId="8" hidden="1"/>
    <cellStyle name="Siêu kết nối" xfId="4" builtinId="8" hidden="1"/>
    <cellStyle name="Siêu kết nối" xfId="6" builtinId="8" hidden="1"/>
    <cellStyle name="Siêu kết nối" xfId="8" builtinId="8" hidden="1"/>
    <cellStyle name="Siêu kết nối" xfId="10" builtinId="8" hidden="1"/>
    <cellStyle name="Siêu kết nối" xfId="12" builtinId="8" hidden="1"/>
    <cellStyle name="Siêu kết nối" xfId="14" builtinId="8" hidden="1"/>
    <cellStyle name="Siêu kết nối" xfId="16" builtinId="8" hidden="1"/>
    <cellStyle name="Siêu kết nối" xfId="18" builtinId="8" hidden="1"/>
    <cellStyle name="Siêu kết nối" xfId="20" builtinId="8" hidden="1"/>
    <cellStyle name="Siêu kết nối" xfId="22" builtinId="8" hidden="1"/>
    <cellStyle name="Siêu kết nối" xfId="24" builtinId="8" hidden="1"/>
    <cellStyle name="Siêu kết nối" xfId="26" builtinId="8" hidden="1"/>
    <cellStyle name="Siêu kết nối" xfId="28" builtinId="8" hidden="1"/>
    <cellStyle name="Siêu kết nối" xfId="30" builtinId="8" hidden="1"/>
    <cellStyle name="Siêu kết nối" xfId="32" builtinId="8" hidden="1"/>
    <cellStyle name="Siêu kết nối" xfId="34" builtinId="8" hidden="1"/>
    <cellStyle name="Siêu kết nối" xfId="36" builtinId="8" hidden="1"/>
    <cellStyle name="Siêu kết nối" xfId="38" builtinId="8" hidden="1"/>
    <cellStyle name="Siêu kết nối" xfId="40" builtinId="8" hidden="1"/>
    <cellStyle name="Siêu kết nối" xfId="42" builtinId="8" hidden="1"/>
    <cellStyle name="Siêu kết nối" xfId="44" builtinId="8" hidden="1"/>
    <cellStyle name="Siêu kết nối" xfId="46" builtinId="8"/>
    <cellStyle name="Siêu kết nối đã Bấm vào" xfId="3" builtinId="9" hidden="1"/>
    <cellStyle name="Siêu kết nối đã Bấm vào" xfId="5" builtinId="9" hidden="1"/>
    <cellStyle name="Siêu kết nối đã Bấm vào" xfId="7" builtinId="9" hidden="1"/>
    <cellStyle name="Siêu kết nối đã Bấm vào" xfId="9" builtinId="9" hidden="1"/>
    <cellStyle name="Siêu kết nối đã Bấm vào" xfId="11" builtinId="9" hidden="1"/>
    <cellStyle name="Siêu kết nối đã Bấm vào" xfId="13" builtinId="9" hidden="1"/>
    <cellStyle name="Siêu kết nối đã Bấm vào" xfId="15" builtinId="9" hidden="1"/>
    <cellStyle name="Siêu kết nối đã Bấm vào" xfId="17" builtinId="9" hidden="1"/>
    <cellStyle name="Siêu kết nối đã Bấm vào" xfId="19" builtinId="9" hidden="1"/>
    <cellStyle name="Siêu kết nối đã Bấm vào" xfId="21" builtinId="9" hidden="1"/>
    <cellStyle name="Siêu kết nối đã Bấm vào" xfId="23" builtinId="9" hidden="1"/>
    <cellStyle name="Siêu kết nối đã Bấm vào" xfId="25" builtinId="9" hidden="1"/>
    <cellStyle name="Siêu kết nối đã Bấm vào" xfId="27" builtinId="9" hidden="1"/>
    <cellStyle name="Siêu kết nối đã Bấm vào" xfId="29" builtinId="9" hidden="1"/>
    <cellStyle name="Siêu kết nối đã Bấm vào" xfId="31" builtinId="9" hidden="1"/>
    <cellStyle name="Siêu kết nối đã Bấm vào" xfId="33" builtinId="9" hidden="1"/>
    <cellStyle name="Siêu kết nối đã Bấm vào" xfId="35" builtinId="9" hidden="1"/>
    <cellStyle name="Siêu kết nối đã Bấm vào" xfId="37" builtinId="9" hidden="1"/>
    <cellStyle name="Siêu kết nối đã Bấm vào" xfId="39" builtinId="9" hidden="1"/>
    <cellStyle name="Siêu kết nối đã Bấm vào" xfId="41" builtinId="9" hidden="1"/>
    <cellStyle name="Siêu kết nối đã Bấm vào" xfId="43" builtinId="9" hidden="1"/>
    <cellStyle name="Siêu kết nối đã Bấm vào" xfId="45" builtinId="9" hidden="1"/>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tancaominh98@gmail.com" TargetMode="External"/><Relationship Id="rId2" Type="http://schemas.openxmlformats.org/officeDocument/2006/relationships/hyperlink" Target="mailto:1712018@student.hcmus.edu.vn" TargetMode="External"/><Relationship Id="rId1" Type="http://schemas.openxmlformats.org/officeDocument/2006/relationships/hyperlink" Target="mailto:1712018@student.hcmus.edu.vn"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workbookViewId="0">
      <selection activeCell="E4" sqref="E4"/>
    </sheetView>
  </sheetViews>
  <sheetFormatPr defaultColWidth="11.26953125" defaultRowHeight="15" x14ac:dyDescent="0.25"/>
  <cols>
    <col min="1" max="1" width="13.453125" customWidth="1"/>
    <col min="2" max="2" width="9.26953125" style="5" bestFit="1" customWidth="1"/>
    <col min="3" max="3" width="23.7265625" customWidth="1"/>
    <col min="4" max="4" width="30.90625" customWidth="1"/>
    <col min="5" max="5" width="21" bestFit="1" customWidth="1"/>
  </cols>
  <sheetData>
    <row r="1" spans="1:5" ht="46.2" customHeight="1" x14ac:dyDescent="0.3">
      <c r="A1" s="1" t="s">
        <v>10</v>
      </c>
    </row>
    <row r="2" spans="1:5" s="17" customFormat="1" ht="31.95" customHeight="1" x14ac:dyDescent="0.25">
      <c r="B2" s="16" t="s">
        <v>1</v>
      </c>
      <c r="C2" s="16" t="s">
        <v>14</v>
      </c>
      <c r="D2" s="16" t="s">
        <v>11</v>
      </c>
      <c r="E2" s="16" t="s">
        <v>12</v>
      </c>
    </row>
    <row r="3" spans="1:5" ht="31.95" customHeight="1" x14ac:dyDescent="0.3">
      <c r="A3" s="1"/>
      <c r="B3" s="6">
        <v>16</v>
      </c>
      <c r="C3" s="2"/>
      <c r="D3" s="32" t="s">
        <v>50</v>
      </c>
      <c r="E3" s="2">
        <v>889838522</v>
      </c>
    </row>
    <row r="4" spans="1:5" ht="49.2" customHeight="1" x14ac:dyDescent="0.3">
      <c r="A4" s="1" t="s">
        <v>13</v>
      </c>
    </row>
    <row r="5" spans="1:5" ht="25.95" customHeight="1" x14ac:dyDescent="0.3">
      <c r="A5" s="7"/>
      <c r="B5" s="15" t="s">
        <v>0</v>
      </c>
      <c r="C5" s="16" t="s">
        <v>3</v>
      </c>
      <c r="D5" s="15" t="s">
        <v>8</v>
      </c>
      <c r="E5" s="15" t="s">
        <v>9</v>
      </c>
    </row>
    <row r="6" spans="1:5" ht="25.95" customHeight="1" x14ac:dyDescent="0.25">
      <c r="A6" s="8"/>
      <c r="B6" s="4">
        <v>1612593</v>
      </c>
      <c r="C6" s="3" t="s">
        <v>57</v>
      </c>
      <c r="D6" s="32" t="s">
        <v>59</v>
      </c>
      <c r="E6" s="37" t="s">
        <v>60</v>
      </c>
    </row>
    <row r="7" spans="1:5" ht="25.95" customHeight="1" x14ac:dyDescent="0.3">
      <c r="A7" s="8"/>
      <c r="B7" s="4">
        <v>1712018</v>
      </c>
      <c r="C7" s="3" t="s">
        <v>51</v>
      </c>
      <c r="D7" s="32" t="s">
        <v>50</v>
      </c>
      <c r="E7" s="2">
        <v>889838522</v>
      </c>
    </row>
    <row r="8" spans="1:5" ht="25.95" customHeight="1" x14ac:dyDescent="0.25">
      <c r="A8" s="8"/>
      <c r="B8" s="4">
        <v>1712056</v>
      </c>
      <c r="C8" s="3" t="s">
        <v>52</v>
      </c>
      <c r="D8" s="3"/>
      <c r="E8" s="3"/>
    </row>
    <row r="9" spans="1:5" ht="25.95" customHeight="1" x14ac:dyDescent="0.25">
      <c r="A9" s="8"/>
      <c r="B9" s="4">
        <v>1712730</v>
      </c>
      <c r="C9" s="3" t="s">
        <v>53</v>
      </c>
      <c r="D9" s="3"/>
      <c r="E9" s="3"/>
    </row>
    <row r="10" spans="1:5" ht="15.6" x14ac:dyDescent="0.3">
      <c r="D10" s="1"/>
      <c r="E10" s="1"/>
    </row>
  </sheetData>
  <hyperlinks>
    <hyperlink ref="D3" r:id="rId1" xr:uid="{7C729700-185C-47B2-ACFF-7EAFA1A419A9}"/>
    <hyperlink ref="D7" r:id="rId2" xr:uid="{35827A83-C21D-4A71-B0C0-5E8C63C8FACE}"/>
    <hyperlink ref="D6" r:id="rId3" xr:uid="{55A350F3-5771-4CAB-A30B-BF03781C1496}"/>
  </hyperlinks>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election activeCell="D5" sqref="D5"/>
    </sheetView>
  </sheetViews>
  <sheetFormatPr defaultColWidth="11.26953125" defaultRowHeight="15" x14ac:dyDescent="0.25"/>
  <cols>
    <col min="1" max="1" width="4.26953125" bestFit="1" customWidth="1"/>
    <col min="2" max="2" width="14.7265625" style="5" customWidth="1"/>
    <col min="3" max="3" width="32.453125" customWidth="1"/>
    <col min="4" max="4" width="61.453125" customWidth="1"/>
    <col min="5" max="5" width="14.453125" bestFit="1" customWidth="1"/>
    <col min="6" max="6" width="18.7265625" customWidth="1"/>
  </cols>
  <sheetData>
    <row r="1" spans="1:6" ht="15.6" x14ac:dyDescent="0.3">
      <c r="A1" s="1"/>
    </row>
    <row r="2" spans="1:6" s="17" customFormat="1" ht="46.8" x14ac:dyDescent="0.25">
      <c r="A2" s="15" t="s">
        <v>2</v>
      </c>
      <c r="B2" s="15" t="s">
        <v>0</v>
      </c>
      <c r="C2" s="16" t="s">
        <v>3</v>
      </c>
      <c r="D2" s="23" t="s">
        <v>28</v>
      </c>
      <c r="E2" s="23" t="s">
        <v>15</v>
      </c>
      <c r="F2" s="23" t="s">
        <v>16</v>
      </c>
    </row>
    <row r="3" spans="1:6" s="17" customFormat="1" ht="146.4" customHeight="1" x14ac:dyDescent="0.25">
      <c r="A3" s="19">
        <v>1</v>
      </c>
      <c r="B3" s="19">
        <v>1712018</v>
      </c>
      <c r="C3" s="20" t="s">
        <v>51</v>
      </c>
      <c r="D3" s="33" t="s">
        <v>54</v>
      </c>
      <c r="E3" s="22">
        <v>0.25</v>
      </c>
      <c r="F3" s="22">
        <v>0.25</v>
      </c>
    </row>
    <row r="4" spans="1:6" s="17" customFormat="1" ht="195" x14ac:dyDescent="0.25">
      <c r="A4" s="19">
        <v>2</v>
      </c>
      <c r="B4" s="19">
        <v>1612593</v>
      </c>
      <c r="C4" s="20" t="s">
        <v>57</v>
      </c>
      <c r="D4" s="33" t="s">
        <v>58</v>
      </c>
      <c r="E4" s="22">
        <v>0.25</v>
      </c>
      <c r="F4" s="22">
        <v>0.25</v>
      </c>
    </row>
    <row r="5" spans="1:6" s="17" customFormat="1" ht="150" x14ac:dyDescent="0.25">
      <c r="A5" s="19">
        <v>3</v>
      </c>
      <c r="B5" s="19">
        <v>1712730</v>
      </c>
      <c r="C5" s="20" t="s">
        <v>55</v>
      </c>
      <c r="D5" s="21" t="s">
        <v>56</v>
      </c>
      <c r="E5" s="22">
        <v>0.25</v>
      </c>
      <c r="F5" s="22">
        <v>0.25</v>
      </c>
    </row>
    <row r="6" spans="1:6" ht="28.95" customHeight="1" x14ac:dyDescent="0.3">
      <c r="D6" s="18" t="s">
        <v>4</v>
      </c>
      <c r="E6" s="24">
        <f>SUM(E3:E5)</f>
        <v>0.75</v>
      </c>
      <c r="F6" s="24">
        <f>SUM(F3:F5)</f>
        <v>0.75</v>
      </c>
    </row>
  </sheetData>
  <conditionalFormatting sqref="E6">
    <cfRule type="cellIs" dxfId="1" priority="2" operator="greaterThan">
      <formula>1</formula>
    </cfRule>
  </conditionalFormatting>
  <conditionalFormatting sqref="F6">
    <cfRule type="cellIs" dxfId="0" priority="1" operator="greaterThan">
      <formula>1</formula>
    </cfRule>
  </conditionalFormatting>
  <pageMargins left="0.75" right="0.75" top="1" bottom="1" header="0.5" footer="0.5"/>
  <pageSetup paperSize="9"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9"/>
  <sheetViews>
    <sheetView tabSelected="1" topLeftCell="A15" zoomScaleNormal="100" workbookViewId="0">
      <selection activeCell="C27" sqref="C27"/>
    </sheetView>
  </sheetViews>
  <sheetFormatPr defaultColWidth="11.26953125" defaultRowHeight="15" x14ac:dyDescent="0.25"/>
  <cols>
    <col min="1" max="1" width="4.26953125" bestFit="1" customWidth="1"/>
    <col min="2" max="2" width="67.453125" customWidth="1"/>
    <col min="3" max="3" width="10.7265625" style="5"/>
    <col min="4" max="4" width="23.26953125" style="5" customWidth="1"/>
    <col min="5" max="5" width="16.26953125" style="5" bestFit="1" customWidth="1"/>
  </cols>
  <sheetData>
    <row r="1" spans="1:5" s="17" customFormat="1" ht="31.2" x14ac:dyDescent="0.25">
      <c r="A1" s="15" t="s">
        <v>2</v>
      </c>
      <c r="B1" s="15" t="s">
        <v>5</v>
      </c>
      <c r="C1" s="15" t="s">
        <v>6</v>
      </c>
      <c r="D1" s="23" t="s">
        <v>31</v>
      </c>
      <c r="E1" s="15" t="s">
        <v>7</v>
      </c>
    </row>
    <row r="2" spans="1:5" s="29" customFormat="1" ht="19.95" customHeight="1" x14ac:dyDescent="0.25">
      <c r="A2" s="10">
        <v>1</v>
      </c>
      <c r="B2" s="25" t="s">
        <v>17</v>
      </c>
      <c r="C2" s="26"/>
      <c r="D2" s="28"/>
      <c r="E2" s="27"/>
    </row>
    <row r="3" spans="1:5" s="17" customFormat="1" ht="19.95" customHeight="1" x14ac:dyDescent="0.25">
      <c r="A3" s="20">
        <v>1.1000000000000001</v>
      </c>
      <c r="B3" s="12" t="s">
        <v>32</v>
      </c>
      <c r="C3" s="19">
        <v>-1</v>
      </c>
      <c r="D3" s="22">
        <v>1</v>
      </c>
      <c r="E3" s="19">
        <f>C3*(1-D3)</f>
        <v>0</v>
      </c>
    </row>
    <row r="4" spans="1:5" s="17" customFormat="1" ht="19.95" customHeight="1" x14ac:dyDescent="0.25">
      <c r="A4" s="20">
        <v>1.2</v>
      </c>
      <c r="B4" s="12" t="s">
        <v>33</v>
      </c>
      <c r="C4" s="19">
        <v>-1</v>
      </c>
      <c r="D4" s="22">
        <v>1</v>
      </c>
      <c r="E4" s="19">
        <v>0</v>
      </c>
    </row>
    <row r="5" spans="1:5" s="17" customFormat="1" ht="19.95" customHeight="1" x14ac:dyDescent="0.25">
      <c r="A5" s="20">
        <v>1.3</v>
      </c>
      <c r="B5" s="12" t="s">
        <v>34</v>
      </c>
      <c r="C5" s="19">
        <v>-1</v>
      </c>
      <c r="D5" s="22">
        <v>1</v>
      </c>
      <c r="E5" s="19">
        <f t="shared" ref="E5:E6" si="0">C5*(1-D5)</f>
        <v>0</v>
      </c>
    </row>
    <row r="6" spans="1:5" s="17" customFormat="1" ht="19.95" customHeight="1" x14ac:dyDescent="0.25">
      <c r="A6" s="20">
        <v>1.4</v>
      </c>
      <c r="B6" s="12" t="s">
        <v>22</v>
      </c>
      <c r="C6" s="19">
        <v>-1</v>
      </c>
      <c r="D6" s="22">
        <v>1</v>
      </c>
      <c r="E6" s="19">
        <f t="shared" si="0"/>
        <v>0</v>
      </c>
    </row>
    <row r="7" spans="1:5" s="29" customFormat="1" ht="19.95" customHeight="1" x14ac:dyDescent="0.25">
      <c r="A7" s="10">
        <v>2</v>
      </c>
      <c r="B7" s="25" t="s">
        <v>18</v>
      </c>
      <c r="C7" s="26"/>
      <c r="D7" s="28"/>
      <c r="E7" s="27"/>
    </row>
    <row r="8" spans="1:5" s="17" customFormat="1" ht="33.6" x14ac:dyDescent="0.25">
      <c r="A8" s="20">
        <v>2.1</v>
      </c>
      <c r="B8" s="13" t="s">
        <v>29</v>
      </c>
      <c r="C8" s="19">
        <v>-10</v>
      </c>
      <c r="D8" s="22">
        <v>1</v>
      </c>
      <c r="E8" s="19">
        <f t="shared" ref="E8:E11" si="1">C8*(1-D8)</f>
        <v>0</v>
      </c>
    </row>
    <row r="9" spans="1:5" s="17" customFormat="1" ht="19.95" customHeight="1" x14ac:dyDescent="0.25">
      <c r="A9" s="20">
        <v>2.2000000000000002</v>
      </c>
      <c r="B9" s="13" t="s">
        <v>37</v>
      </c>
      <c r="C9" s="19">
        <v>-10</v>
      </c>
      <c r="D9" s="22">
        <v>1</v>
      </c>
      <c r="E9" s="19">
        <f t="shared" si="1"/>
        <v>0</v>
      </c>
    </row>
    <row r="10" spans="1:5" s="17" customFormat="1" ht="19.95" customHeight="1" x14ac:dyDescent="0.25">
      <c r="A10" s="20">
        <v>2.2999999999999998</v>
      </c>
      <c r="B10" s="13" t="s">
        <v>35</v>
      </c>
      <c r="C10" s="19">
        <v>-10</v>
      </c>
      <c r="D10" s="22">
        <v>1</v>
      </c>
      <c r="E10" s="19">
        <f t="shared" si="1"/>
        <v>0</v>
      </c>
    </row>
    <row r="11" spans="1:5" s="17" customFormat="1" ht="43.2" customHeight="1" x14ac:dyDescent="0.25">
      <c r="A11" s="20">
        <v>2.4</v>
      </c>
      <c r="B11" s="13" t="s">
        <v>39</v>
      </c>
      <c r="C11" s="19">
        <v>-10</v>
      </c>
      <c r="D11" s="22">
        <v>1</v>
      </c>
      <c r="E11" s="19">
        <f t="shared" si="1"/>
        <v>0</v>
      </c>
    </row>
    <row r="12" spans="1:5" s="29" customFormat="1" ht="19.95" customHeight="1" x14ac:dyDescent="0.25">
      <c r="A12" s="10">
        <v>3</v>
      </c>
      <c r="B12" s="25" t="s">
        <v>19</v>
      </c>
      <c r="C12" s="26"/>
      <c r="D12" s="28"/>
      <c r="E12" s="27"/>
    </row>
    <row r="13" spans="1:5" s="17" customFormat="1" ht="19.95" customHeight="1" x14ac:dyDescent="0.25">
      <c r="A13" s="20">
        <v>3.1</v>
      </c>
      <c r="B13" s="13" t="s">
        <v>38</v>
      </c>
      <c r="C13" s="19">
        <v>-10</v>
      </c>
      <c r="D13" s="22">
        <v>1</v>
      </c>
      <c r="E13" s="19">
        <f t="shared" ref="E13:E14" si="2">C13*(1-D13)</f>
        <v>0</v>
      </c>
    </row>
    <row r="14" spans="1:5" s="17" customFormat="1" ht="33.6" x14ac:dyDescent="0.25">
      <c r="A14" s="20">
        <v>3.2</v>
      </c>
      <c r="B14" s="13" t="s">
        <v>49</v>
      </c>
      <c r="C14" s="19">
        <v>-10</v>
      </c>
      <c r="D14" s="22">
        <v>1</v>
      </c>
      <c r="E14" s="19">
        <f t="shared" si="2"/>
        <v>0</v>
      </c>
    </row>
    <row r="15" spans="1:5" s="29" customFormat="1" ht="19.95" customHeight="1" x14ac:dyDescent="0.25">
      <c r="A15" s="10">
        <v>4</v>
      </c>
      <c r="B15" s="25" t="s">
        <v>20</v>
      </c>
      <c r="C15" s="26"/>
      <c r="D15" s="28"/>
      <c r="E15" s="27"/>
    </row>
    <row r="16" spans="1:5" s="17" customFormat="1" ht="33.6" x14ac:dyDescent="0.25">
      <c r="A16" s="20">
        <v>4.0999999999999996</v>
      </c>
      <c r="B16" s="13" t="s">
        <v>40</v>
      </c>
      <c r="C16" s="19">
        <v>-10</v>
      </c>
      <c r="D16" s="22">
        <v>1</v>
      </c>
      <c r="E16" s="19">
        <f t="shared" ref="E16:E18" si="3">C16*(1-D16)</f>
        <v>0</v>
      </c>
    </row>
    <row r="17" spans="1:5" s="17" customFormat="1" ht="33.6" x14ac:dyDescent="0.25">
      <c r="A17" s="20">
        <v>4.2</v>
      </c>
      <c r="B17" s="13" t="s">
        <v>41</v>
      </c>
      <c r="C17" s="19">
        <v>-10</v>
      </c>
      <c r="D17" s="22">
        <v>1</v>
      </c>
      <c r="E17" s="19">
        <f t="shared" si="3"/>
        <v>0</v>
      </c>
    </row>
    <row r="18" spans="1:5" s="17" customFormat="1" ht="19.95" customHeight="1" x14ac:dyDescent="0.25">
      <c r="A18" s="20">
        <v>4.3</v>
      </c>
      <c r="B18" s="12" t="s">
        <v>22</v>
      </c>
      <c r="C18" s="19">
        <v>-10</v>
      </c>
      <c r="D18" s="22">
        <v>1</v>
      </c>
      <c r="E18" s="19">
        <f t="shared" si="3"/>
        <v>0</v>
      </c>
    </row>
    <row r="19" spans="1:5" s="29" customFormat="1" ht="19.95" customHeight="1" x14ac:dyDescent="0.25">
      <c r="A19" s="10">
        <v>5</v>
      </c>
      <c r="B19" s="25" t="s">
        <v>21</v>
      </c>
      <c r="C19" s="26"/>
      <c r="D19" s="28"/>
      <c r="E19" s="27"/>
    </row>
    <row r="20" spans="1:5" s="17" customFormat="1" ht="37.950000000000003" customHeight="1" x14ac:dyDescent="0.25">
      <c r="A20" s="20">
        <v>5.0999999999999996</v>
      </c>
      <c r="B20" s="13" t="s">
        <v>42</v>
      </c>
      <c r="C20" s="19">
        <v>-1</v>
      </c>
      <c r="D20" s="22">
        <v>1</v>
      </c>
      <c r="E20" s="19">
        <v>-1</v>
      </c>
    </row>
    <row r="21" spans="1:5" s="17" customFormat="1" ht="33.6" x14ac:dyDescent="0.25">
      <c r="A21" s="20">
        <v>5.2</v>
      </c>
      <c r="B21" s="13" t="s">
        <v>43</v>
      </c>
      <c r="C21" s="19">
        <v>-1</v>
      </c>
      <c r="D21" s="22">
        <v>1</v>
      </c>
      <c r="E21" s="19">
        <f t="shared" ref="E21:E22" si="4">C21*(1-D21)</f>
        <v>0</v>
      </c>
    </row>
    <row r="22" spans="1:5" s="17" customFormat="1" ht="33.6" x14ac:dyDescent="0.25">
      <c r="A22" s="20">
        <v>5.3</v>
      </c>
      <c r="B22" s="13" t="s">
        <v>46</v>
      </c>
      <c r="C22" s="19">
        <v>-1</v>
      </c>
      <c r="D22" s="22">
        <v>1</v>
      </c>
      <c r="E22" s="19">
        <f t="shared" si="4"/>
        <v>0</v>
      </c>
    </row>
    <row r="23" spans="1:5" s="17" customFormat="1" ht="19.95" customHeight="1" x14ac:dyDescent="0.25">
      <c r="A23" s="20">
        <v>5.4</v>
      </c>
      <c r="B23" s="13" t="s">
        <v>36</v>
      </c>
      <c r="C23" s="19">
        <v>-1</v>
      </c>
      <c r="D23" s="22">
        <v>1</v>
      </c>
      <c r="E23" s="19">
        <v>-1</v>
      </c>
    </row>
    <row r="24" spans="1:5" s="29" customFormat="1" ht="19.95" customHeight="1" x14ac:dyDescent="0.25">
      <c r="A24" s="10">
        <v>6</v>
      </c>
      <c r="B24" s="25" t="s">
        <v>44</v>
      </c>
      <c r="C24" s="26"/>
      <c r="D24" s="28"/>
      <c r="E24" s="27"/>
    </row>
    <row r="25" spans="1:5" s="17" customFormat="1" ht="33.6" x14ac:dyDescent="0.25">
      <c r="A25" s="20">
        <v>6.1</v>
      </c>
      <c r="B25" s="13" t="s">
        <v>47</v>
      </c>
      <c r="C25" s="19">
        <v>-1</v>
      </c>
      <c r="D25" s="22">
        <v>1</v>
      </c>
      <c r="E25" s="19">
        <v>-1</v>
      </c>
    </row>
    <row r="26" spans="1:5" s="29" customFormat="1" ht="19.95" customHeight="1" x14ac:dyDescent="0.25">
      <c r="A26" s="10">
        <v>7</v>
      </c>
      <c r="B26" s="25" t="s">
        <v>45</v>
      </c>
      <c r="C26" s="26"/>
      <c r="D26" s="28"/>
      <c r="E26" s="27"/>
    </row>
    <row r="27" spans="1:5" s="17" customFormat="1" ht="16.8" x14ac:dyDescent="0.25">
      <c r="A27" s="20">
        <v>7.1</v>
      </c>
      <c r="B27" s="13" t="s">
        <v>48</v>
      </c>
      <c r="C27" s="19">
        <v>-1</v>
      </c>
      <c r="D27" s="22">
        <v>1</v>
      </c>
      <c r="E27" s="19">
        <v>-1</v>
      </c>
    </row>
    <row r="28" spans="1:5" s="17" customFormat="1" ht="19.95" customHeight="1" x14ac:dyDescent="0.25">
      <c r="A28" s="34"/>
      <c r="B28" s="35"/>
      <c r="C28" s="35"/>
      <c r="D28" s="35"/>
      <c r="E28" s="36"/>
    </row>
    <row r="29" spans="1:5" s="29" customFormat="1" ht="19.95" customHeight="1" x14ac:dyDescent="0.25">
      <c r="A29" s="10"/>
      <c r="B29" s="11" t="s">
        <v>30</v>
      </c>
      <c r="C29" s="9">
        <v>-7</v>
      </c>
      <c r="D29" s="30">
        <f>SUM(D2:D21)/20</f>
        <v>0.75</v>
      </c>
      <c r="E29" s="31">
        <f>MAX(0,10+SUM(E3:E21))</f>
        <v>9</v>
      </c>
    </row>
  </sheetData>
  <mergeCells count="1">
    <mergeCell ref="A28:E28"/>
  </mergeCell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election activeCell="B27" sqref="B27"/>
    </sheetView>
  </sheetViews>
  <sheetFormatPr defaultColWidth="11.26953125" defaultRowHeight="15" x14ac:dyDescent="0.25"/>
  <cols>
    <col min="1" max="1" width="20.453125" bestFit="1" customWidth="1"/>
    <col min="2" max="2" width="94" bestFit="1" customWidth="1"/>
  </cols>
  <sheetData>
    <row r="1" spans="1:2" x14ac:dyDescent="0.25">
      <c r="A1" t="s">
        <v>23</v>
      </c>
      <c r="B1" t="s">
        <v>25</v>
      </c>
    </row>
    <row r="2" spans="1:2" ht="30" x14ac:dyDescent="0.25">
      <c r="A2" t="s">
        <v>24</v>
      </c>
      <c r="B2" s="14" t="s">
        <v>26</v>
      </c>
    </row>
    <row r="3" spans="1:2" x14ac:dyDescent="0.25">
      <c r="B3"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Thong tin Nhom</vt:lpstr>
      <vt:lpstr>Danh gia Nhom</vt:lpstr>
      <vt:lpstr>Thang Diem</vt:lpstr>
      <vt:lpstr>Huong dan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Hanh Tran</dc:creator>
  <cp:lastModifiedBy>Cao Minh Tân</cp:lastModifiedBy>
  <dcterms:created xsi:type="dcterms:W3CDTF">2015-11-05T11:34:01Z</dcterms:created>
  <dcterms:modified xsi:type="dcterms:W3CDTF">2021-01-11T13:28:25Z</dcterms:modified>
</cp:coreProperties>
</file>